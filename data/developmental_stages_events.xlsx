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etonu-my.sharepoint.com/personal/rb4174_princeton_edu/Documents/Projects/brain_dev_primates/altricial_brain_vocal_learning/data/"/>
    </mc:Choice>
  </mc:AlternateContent>
  <xr:revisionPtr revIDLastSave="110" documentId="13_ncr:1_{14FBAA80-95B2-F744-9A0F-9109F34AA1FB}" xr6:coauthVersionLast="47" xr6:coauthVersionMax="47" xr10:uidLastSave="{D13BFEBC-974B-9D4B-B2FF-5CEB32885060}"/>
  <bookViews>
    <workbookView xWindow="0" yWindow="760" windowWidth="30240" windowHeight="17300" xr2:uid="{EB79B910-5D76-2949-8AA6-D64B7991AD5F}"/>
  </bookViews>
  <sheets>
    <sheet name="Sheet1" sheetId="1" r:id="rId1"/>
    <sheet name="Sheet3" sheetId="3" r:id="rId2"/>
  </sheets>
  <definedNames>
    <definedName name="_xlnm._FilterDatabase" localSheetId="0" hidden="1">Sheet1!$A$1:$K$82</definedName>
    <definedName name="capuchin_gestation">Sheet1!$F$16</definedName>
    <definedName name="chimp_gestation">Sheet1!$F$12</definedName>
    <definedName name="gorilla_gestation">Sheet1!$D$19</definedName>
    <definedName name="human_gestation">Sheet1!$F$13</definedName>
    <definedName name="marmoset_gestation">Sheet1!$F$14</definedName>
    <definedName name="Rhesus_gestation">Sheet1!$F$15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D7" i="1"/>
  <c r="E7" i="1"/>
  <c r="D25" i="1"/>
  <c r="F25" i="1"/>
  <c r="G25" i="1" s="1"/>
  <c r="E25" i="1"/>
  <c r="E31" i="1"/>
  <c r="D31" i="1"/>
  <c r="E19" i="1"/>
  <c r="D19" i="1"/>
  <c r="D14" i="1"/>
  <c r="E14" i="1"/>
  <c r="E18" i="1"/>
  <c r="D18" i="1"/>
  <c r="E17" i="1"/>
  <c r="D17" i="1"/>
  <c r="E16" i="1"/>
  <c r="D16" i="1"/>
  <c r="E15" i="1"/>
  <c r="D15" i="1"/>
  <c r="F31" i="1" l="1"/>
  <c r="G31" i="1" s="1"/>
  <c r="F13" i="1"/>
  <c r="G13" i="1" s="1"/>
  <c r="F7" i="1"/>
  <c r="G7" i="1" s="1"/>
  <c r="F19" i="1"/>
  <c r="G19" i="1" s="1"/>
  <c r="F18" i="1"/>
  <c r="F16" i="1"/>
  <c r="F14" i="1"/>
  <c r="F17" i="1"/>
  <c r="F15" i="1"/>
  <c r="E30" i="1" l="1"/>
  <c r="D30" i="1"/>
  <c r="E24" i="1"/>
  <c r="D24" i="1"/>
  <c r="G18" i="1"/>
  <c r="E12" i="1"/>
  <c r="E6" i="1"/>
  <c r="D6" i="1"/>
  <c r="D12" i="1"/>
  <c r="G14" i="1"/>
  <c r="E27" i="1"/>
  <c r="D3" i="1"/>
  <c r="D27" i="1"/>
  <c r="D9" i="1"/>
  <c r="E3" i="1"/>
  <c r="E9" i="1"/>
  <c r="G15" i="1"/>
  <c r="E21" i="1"/>
  <c r="D21" i="1"/>
  <c r="D29" i="1"/>
  <c r="D11" i="1"/>
  <c r="E23" i="1"/>
  <c r="E5" i="1"/>
  <c r="E29" i="1"/>
  <c r="D23" i="1"/>
  <c r="G17" i="1"/>
  <c r="D5" i="1"/>
  <c r="E11" i="1"/>
  <c r="E10" i="1"/>
  <c r="D10" i="1"/>
  <c r="E22" i="1"/>
  <c r="G16" i="1"/>
  <c r="D22" i="1"/>
  <c r="E28" i="1"/>
  <c r="D4" i="1"/>
  <c r="D28" i="1"/>
  <c r="E4" i="1"/>
  <c r="F11" i="1" l="1"/>
  <c r="G11" i="1" s="1"/>
  <c r="F30" i="1"/>
  <c r="G30" i="1" s="1"/>
  <c r="F5" i="1"/>
  <c r="G5" i="1" s="1"/>
  <c r="F24" i="1"/>
  <c r="G24" i="1" s="1"/>
  <c r="F6" i="1"/>
  <c r="G6" i="1" s="1"/>
  <c r="F12" i="1"/>
  <c r="D26" i="1" s="1"/>
  <c r="F10" i="1"/>
  <c r="G10" i="1" s="1"/>
  <c r="F27" i="1"/>
  <c r="G27" i="1" s="1"/>
  <c r="F23" i="1"/>
  <c r="G23" i="1" s="1"/>
  <c r="F22" i="1"/>
  <c r="G22" i="1" s="1"/>
  <c r="F29" i="1"/>
  <c r="G29" i="1" s="1"/>
  <c r="F3" i="1"/>
  <c r="G3" i="1" s="1"/>
  <c r="F21" i="1"/>
  <c r="G21" i="1" s="1"/>
  <c r="F28" i="1"/>
  <c r="G28" i="1" s="1"/>
  <c r="F9" i="1"/>
  <c r="G9" i="1" s="1"/>
  <c r="F4" i="1"/>
  <c r="G4" i="1" s="1"/>
  <c r="E26" i="1" l="1"/>
  <c r="D20" i="1"/>
  <c r="E20" i="1"/>
  <c r="F20" i="1" s="1"/>
  <c r="G20" i="1" s="1"/>
  <c r="G12" i="1"/>
  <c r="E2" i="1"/>
  <c r="D2" i="1"/>
  <c r="E8" i="1"/>
  <c r="F8" i="1" s="1"/>
  <c r="G8" i="1" s="1"/>
  <c r="D8" i="1"/>
  <c r="F26" i="1"/>
  <c r="G26" i="1" s="1"/>
  <c r="F2" i="1" l="1"/>
  <c r="G2" i="1" s="1"/>
</calcChain>
</file>

<file path=xl/sharedStrings.xml><?xml version="1.0" encoding="utf-8"?>
<sst xmlns="http://schemas.openxmlformats.org/spreadsheetml/2006/main" count="192" uniqueCount="79">
  <si>
    <t>event</t>
  </si>
  <si>
    <t>original_format</t>
  </si>
  <si>
    <t>data_reference</t>
  </si>
  <si>
    <t>weaning_complete</t>
  </si>
  <si>
    <t>Marmoset</t>
  </si>
  <si>
    <t>Human</t>
  </si>
  <si>
    <t>Chimpanzee</t>
  </si>
  <si>
    <t>Nursing ceases, weaning completed</t>
  </si>
  <si>
    <t>Ausderau_2017</t>
  </si>
  <si>
    <t>Discontinues breastfeeding</t>
  </si>
  <si>
    <t>gestation</t>
  </si>
  <si>
    <t>min_wkspc</t>
  </si>
  <si>
    <t>max_wkspc</t>
  </si>
  <si>
    <t>avg_wkspc</t>
  </si>
  <si>
    <t>12–16 wks post birth</t>
  </si>
  <si>
    <t>12–24 mos post birth</t>
  </si>
  <si>
    <t>Lonsdorf_2020</t>
  </si>
  <si>
    <t>weaning completed in  the wild</t>
  </si>
  <si>
    <t>10–14 months of age</t>
  </si>
  <si>
    <t>Prescott_2011</t>
  </si>
  <si>
    <t>cessation of suckling</t>
  </si>
  <si>
    <t>4.2–7.2, 4–5, 4.1–6, 4–7 years post birth</t>
  </si>
  <si>
    <t>Rhesus</t>
  </si>
  <si>
    <t>5 weeks</t>
  </si>
  <si>
    <t>ealy infancy = deciduous teeth last eruption</t>
  </si>
  <si>
    <t>late infancy = first tooth permanent eruption</t>
  </si>
  <si>
    <t>dental_early_infancy_ends</t>
  </si>
  <si>
    <t>dental_late_infancy_ends</t>
  </si>
  <si>
    <t>avg_month_pc</t>
  </si>
  <si>
    <t xml:space="preserve">Smith 2005, https://www.sciencedirect.com/science/article/pii/S0168010217301025?ref=pdf_download&amp;fr=RR-2&amp;rr=831e197b2b4ec46b </t>
  </si>
  <si>
    <t>3.6 months</t>
  </si>
  <si>
    <t>sexual_maturation_juvenile_end</t>
  </si>
  <si>
    <t>15 months</t>
  </si>
  <si>
    <t xml:space="preserve"> sexual maturation
(menarche, first ejaculation)</t>
  </si>
  <si>
    <t>53.8 weeks, 12 months</t>
  </si>
  <si>
    <t>162 week, 36 months</t>
  </si>
  <si>
    <t xml:space="preserve"> 96 months</t>
  </si>
  <si>
    <t>108 weeks, 24 months</t>
  </si>
  <si>
    <t>72 months</t>
  </si>
  <si>
    <t>144 months</t>
  </si>
  <si>
    <t>0.437 year</t>
  </si>
  <si>
    <t>1.35 year</t>
  </si>
  <si>
    <t>30 months</t>
  </si>
  <si>
    <t>event_type</t>
  </si>
  <si>
    <t>developmental_stages</t>
  </si>
  <si>
    <t>12 months</t>
  </si>
  <si>
    <t>original_description</t>
  </si>
  <si>
    <t>weeks-month ratio</t>
  </si>
  <si>
    <t>270 dpc, 267 (10)</t>
  </si>
  <si>
    <t>243 dpc, 227.8 (9.18)</t>
  </si>
  <si>
    <t>https/primatedatabase.org, https://onlinelibrary.wiley.com/doi/epdf/10.1002/ajpa.24601</t>
  </si>
  <si>
    <t>https/primatedatabase.org, https://academic.oup.com/humrep/article/28/10/2848/620772</t>
  </si>
  <si>
    <t>sd_(days)</t>
  </si>
  <si>
    <t>https/primatedatabase.org, https://onlinelibrary.wiley.com/doi/epdf/10.1002/bdrb.20057?saml_referrer</t>
  </si>
  <si>
    <t>143.5 dpc (140-150)</t>
  </si>
  <si>
    <t>https/primatedatabase.org, https://link.springer.com/article/10.1007/bf02196505</t>
  </si>
  <si>
    <t>165 dpc, 166.5 (7.4)</t>
  </si>
  <si>
    <t>Capuchin</t>
  </si>
  <si>
    <t>Study of prenatal growth in the capuchin monkev J (Cebusapella)by ultrasound</t>
  </si>
  <si>
    <t>157 (2.5)</t>
  </si>
  <si>
    <t>0.393 year</t>
  </si>
  <si>
    <t>1.15 year</t>
  </si>
  <si>
    <t>Smith 1994, Ages of Eruption of Primate Teeth: A Compendium for Aging Individuals and Comparing Life Histories</t>
  </si>
  <si>
    <t>https://pdf.sciencedirectassets.com/273278/1-s2.0-S0065345405X1066X/1-s2.0-S0065345405350030/main.pdf?X-Amz-Security-Token=IQoJb3JpZ2luX2VjEBcaCXVzLWVhc3QtMSJIMEYCIQD1uBt7roZO09o8fW%2BaLqGZ9AE6t5H0XF%2Be2ewnF9xvOAIhAI12ccDLFwHKso%2F%2FvnIXW5CvAYKtlF%2Ft6UCDuBvypFbnKrwFCMD%2F%2F%2F%2F%2F%2F%2F%2F%2F%2FwEQBRoMMDU5MDAzNTQ2ODY1IgxSd2MSWoWs%2F28GoQAqkAUaHxL2VC7tXyT9Qe9jDLJtfMPke6lNmm15gUazRZvgDW4poNGBn7y5WQs7rqskIkqW9sAJ7WtKPltU%2FGGxk6D0r9bCa8HXHBpjVCd7uiYB5vooIHznNgiUuQ7KFfV%2FHbsw5aDV%2BmfK6gxBBYuIUB7jGel8esABhKS6W%2BRgGJWBjXma9DrvzQ373gpgQSbzCkTprvGD8e9dMIIicU%2BXjbVuqZjmFjnlMjnsv30KT3CCFwa82FOPEPH%2BzRvL6cDTY4%2B5SJamwFoF8u9NtO6inzIgfvMds7vS9o2GRhBvU641WH1lpEQ8uZyjHrW180OCRhhyQdFpRcHX%2Bb4OTrNxM%2FjEzWaald3Bl%2FkLTaPDpPl1%2F%2BxO2ODDHz51X4lqjrWfGWSsejG1qKPnPjvuMZsCtrfbFD3o97m3%2B2Kk%2BBv%2F5nT6CMDrHc6l4wjOa3iyqkGDgZE9M1B2Yk6irsBfMW51ep%2FVakOE6eBoWPcMRhRt9yFuwecurYL7dPkVVdlQprMvz6SjgtXhDzb71T1QfOd1uNaMXysMdkFG2h0mRaM3iBa7zK7fLnitu9x7PfX3eyQ2fFUlyV%2BBtSmJ6zsvUpoE4lnDv3RgFkgvU3iIiD5e%2F78JP3P87etloSkyCdWxbfXVG9kFXBDI%2Ffg0Y6HYWpI8vaJ1gUAJvKDcGdTkEy6AkDvtPdM3yFcbbyKchVBnxwxlW58yM4Qf%2BfhsdUNjpIuHxy2oEK5d6umDlxrPI5hwgUnA9br0NAOfX%2FYw72YnAWFtOYkGFmrUmQw5%2Bxj1KBqtZzQe1uHmB7tVuszWdLIZGH1N99Bu4HNRQCSxxZoIaPNzXmgWj5ne3Z4mLvT6TZ4hzHqz%2Bsk71dgbcyx7PraGeN3hVjCY1p%2BtBjqwASiG61SAwtS%2BAUqFY7pJ5Lm8doOIuCSLrRu41XMH78JH7ZR2kYnl%2F6iNsOh4QC3o9Q%2BJcj%2FMIc3eNn%2BFhIUr195cYFe%2B3zG2mG35ptrF6GwacLPCqKesPAQppRmpYYbUuvLHLYzL7VNbsGfGCvHnqmaLtcjV0pMrgJqCYCdcySHrcBUs3Tq1q7nJge1UJLA2DIMHeZCSTrLewK5nTzvcOGnyMWeAA%2BBkj%2FAsvMu6hL7R&amp;X-Amz-Algorithm=AWS4-HMAC-SHA256&amp;X-Amz-Date=20240117T161901Z&amp;X-Amz-SignedHeaders=host&amp;X-Amz-Expires=300&amp;X-Amz-Credential=ASIAQ3PHCVTY3466NF6F%2F20240117%2Fus-east-1%2Fs3%2Faws4_request&amp;X-Amz-Signature=b081ce566fbb3c931dc6bc32cc7038a5b665fec22582e6ac6c80611b1b69c44d&amp;hash=d97a9fed5a643890389c5ff736abd3a939a63460b7b2ca645f88a518f469dc39&amp;host=68042c943591013ac2b2430a89b270f6af2c76d8dfd086a07176afe7c76c2c61&amp;pii=S0065345405350030&amp;tid=spdf-63dad270-ac37-4d32-a1eb-4ddcdfe030a2&amp;sid=b6f6f50b42c2a74eb089c60-45d5fb974c80gxrqa&amp;type=client&amp;tsoh=d3d3LnNjaWVuY2VkaXJlY3QuY29t&amp;ua=00115d555007030f07&amp;rr=846feadc8fe21abd&amp;cc=br</t>
  </si>
  <si>
    <t>4 years (f) 7-8 (m)</t>
  </si>
  <si>
    <t>weaning complete</t>
  </si>
  <si>
    <t>https://royalsocietypublishing.org/doi/full/10.1098/rsbl.2009.0773?casa_token=uJY3G7vdDzkAAAAA%3ACMjH5DirG6WFo9RHe_z1jBP7Mf-R83kWdd_YrLtvkEAo56wazbVWxJhH-NuVGa9_r4WD3rKBDasPqJc</t>
  </si>
  <si>
    <t>species</t>
  </si>
  <si>
    <t>Gorilla</t>
  </si>
  <si>
    <t>255 days</t>
  </si>
  <si>
    <t>https://doi.org/10.1002/ajpa.20474</t>
  </si>
  <si>
    <t>27-51</t>
  </si>
  <si>
    <t xml:space="preserve">distribution of weaning age </t>
  </si>
  <si>
    <t>https://link.springer.com/article/10.1007/s00265-016-2066-6</t>
  </si>
  <si>
    <t>Juvenile/subadult</t>
  </si>
  <si>
    <t>7.7 years</t>
  </si>
  <si>
    <t>Breuer, https://onlinelibrary.wiley.com/doi/epdf/10.1002/ajp.20628</t>
  </si>
  <si>
    <t>3.50 year</t>
  </si>
  <si>
    <t>0.994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</si>
</sst>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4"/>
      <name val="Calibri"/>
      <family val="2"/>
      <scheme val="minor"/>
    </font>
    <font>
      <u/>
      <sz val="8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C5FA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7" fillId="0" borderId="0" xfId="1" applyFont="1" applyFill="1" applyAlignment="1">
      <alignment vertical="top"/>
    </xf>
    <xf numFmtId="0" fontId="7" fillId="0" borderId="0" xfId="1" applyFont="1" applyFill="1" applyAlignment="1">
      <alignment vertical="top" wrapText="1"/>
    </xf>
    <xf numFmtId="0" fontId="8" fillId="0" borderId="0" xfId="1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5" fillId="0" borderId="0" xfId="1" applyAlignment="1">
      <alignment horizontal="left" vertical="top"/>
    </xf>
    <xf numFmtId="0" fontId="5" fillId="0" borderId="0" xfId="1" applyAlignment="1">
      <alignment vertical="top"/>
    </xf>
  </cellXfs>
  <cellStyles count="2">
    <cellStyle name="Hyperlink" xfId="1" builtinId="8"/>
    <cellStyle name="Normal" xfId="0" builtinId="0"/>
  </cellStyles>
  <dxfs count="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fgColor auto="1"/>
          <bgColor theme="4" tint="0.39994506668294322"/>
        </patternFill>
      </fill>
    </dxf>
  </dxfs>
  <tableStyles count="0" defaultTableStyle="TableStyleMedium2" defaultPivotStyle="PivotStyleLight16"/>
  <colors>
    <mruColors>
      <color rgb="FFE4C5FA"/>
      <color rgb="FFB34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doi/epdf/10.1002/ajp.20628" TargetMode="External"/><Relationship Id="rId2" Type="http://schemas.openxmlformats.org/officeDocument/2006/relationships/hyperlink" Target="https://link.springer.com/article/10.1007/s00265-016-2066-6" TargetMode="External"/><Relationship Id="rId1" Type="http://schemas.openxmlformats.org/officeDocument/2006/relationships/hyperlink" Target="https://doi.org/10.1002/ajpa.20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44EE-19B2-F048-840C-8FDF46BBA4E6}">
  <dimension ref="A1:O82"/>
  <sheetViews>
    <sheetView tabSelected="1" zoomScale="130" zoomScaleNormal="130" workbookViewId="0">
      <pane ySplit="1" topLeftCell="A30" activePane="bottomLeft" state="frozen"/>
      <selection pane="bottomLeft" activeCell="E7" sqref="E7"/>
    </sheetView>
  </sheetViews>
  <sheetFormatPr baseColWidth="10" defaultRowHeight="19" customHeight="1" x14ac:dyDescent="0.2"/>
  <cols>
    <col min="1" max="1" width="15.83203125" style="6" customWidth="1"/>
    <col min="2" max="2" width="25.33203125" style="6" customWidth="1"/>
    <col min="3" max="3" width="10.1640625" style="6" customWidth="1"/>
    <col min="4" max="4" width="12.1640625" style="7" customWidth="1"/>
    <col min="5" max="5" width="12.5" style="7" customWidth="1"/>
    <col min="6" max="6" width="12.1640625" style="7" customWidth="1"/>
    <col min="7" max="7" width="16.83203125" style="7" customWidth="1"/>
    <col min="8" max="8" width="7.1640625" style="7" customWidth="1"/>
    <col min="9" max="9" width="17.6640625" style="6" customWidth="1"/>
    <col min="10" max="10" width="32.1640625" style="6" customWidth="1"/>
    <col min="11" max="11" width="26.83203125" style="6" customWidth="1"/>
    <col min="12" max="16384" width="10.83203125" style="6"/>
  </cols>
  <sheetData>
    <row r="1" spans="1:12" s="1" customFormat="1" ht="19" customHeight="1" x14ac:dyDescent="0.2">
      <c r="A1" s="1" t="s">
        <v>43</v>
      </c>
      <c r="B1" s="1" t="s">
        <v>0</v>
      </c>
      <c r="C1" s="1" t="s">
        <v>67</v>
      </c>
      <c r="D1" s="1" t="s">
        <v>11</v>
      </c>
      <c r="E1" s="1" t="s">
        <v>12</v>
      </c>
      <c r="F1" s="1" t="s">
        <v>13</v>
      </c>
      <c r="G1" s="1" t="s">
        <v>28</v>
      </c>
      <c r="H1" s="1" t="s">
        <v>52</v>
      </c>
      <c r="I1" s="1" t="s">
        <v>1</v>
      </c>
      <c r="J1" s="1" t="s">
        <v>46</v>
      </c>
      <c r="K1" s="1" t="s">
        <v>2</v>
      </c>
    </row>
    <row r="2" spans="1:12" s="2" customFormat="1" ht="19" customHeight="1" x14ac:dyDescent="0.2">
      <c r="A2" s="2" t="s">
        <v>44</v>
      </c>
      <c r="B2" s="2" t="s">
        <v>26</v>
      </c>
      <c r="C2" s="2" t="s">
        <v>6</v>
      </c>
      <c r="D2" s="3">
        <f xml:space="preserve"> 12*Sheet3!B1 +chimp_gestation</f>
        <v>131.65428571428572</v>
      </c>
      <c r="E2" s="3">
        <f xml:space="preserve"> 12*Sheet3!B1 +chimp_gestation</f>
        <v>131.65428571428572</v>
      </c>
      <c r="F2" s="3">
        <f t="shared" ref="F2:F24" si="0">(E2+D2)/2</f>
        <v>131.65428571428572</v>
      </c>
      <c r="G2" s="3">
        <f t="shared" ref="G2:G31" si="1">F2/4</f>
        <v>32.91357142857143</v>
      </c>
      <c r="H2" s="3">
        <v>0</v>
      </c>
      <c r="I2" s="2" t="s">
        <v>34</v>
      </c>
      <c r="J2" s="2" t="s">
        <v>24</v>
      </c>
      <c r="K2" s="2" t="s">
        <v>29</v>
      </c>
    </row>
    <row r="3" spans="1:12" s="2" customFormat="1" ht="19" customHeight="1" x14ac:dyDescent="0.2">
      <c r="A3" s="2" t="s">
        <v>44</v>
      </c>
      <c r="B3" s="2" t="s">
        <v>26</v>
      </c>
      <c r="C3" s="2" t="s">
        <v>5</v>
      </c>
      <c r="D3" s="3">
        <f>24*Sheet3!B1 +human_gestation</f>
        <v>320.2285714285714</v>
      </c>
      <c r="E3" s="3">
        <f>24*Sheet3!B1 +human_gestation</f>
        <v>320.2285714285714</v>
      </c>
      <c r="F3" s="3">
        <f t="shared" si="0"/>
        <v>320.2285714285714</v>
      </c>
      <c r="G3" s="3">
        <f t="shared" si="1"/>
        <v>80.05714285714285</v>
      </c>
      <c r="H3" s="3">
        <v>0</v>
      </c>
      <c r="I3" s="2" t="s">
        <v>37</v>
      </c>
      <c r="J3" s="2" t="s">
        <v>24</v>
      </c>
      <c r="K3" s="2" t="s">
        <v>29</v>
      </c>
    </row>
    <row r="4" spans="1:12" s="2" customFormat="1" ht="19" customHeight="1" x14ac:dyDescent="0.2">
      <c r="A4" s="2" t="s">
        <v>44</v>
      </c>
      <c r="B4" s="2" t="s">
        <v>26</v>
      </c>
      <c r="C4" s="2" t="s">
        <v>4</v>
      </c>
      <c r="D4" s="3">
        <f xml:space="preserve"> 5 + marmoset_gestation</f>
        <v>37.542857142857144</v>
      </c>
      <c r="E4" s="3">
        <f xml:space="preserve"> 5 + marmoset_gestation</f>
        <v>37.542857142857144</v>
      </c>
      <c r="F4" s="3">
        <f t="shared" si="0"/>
        <v>37.542857142857144</v>
      </c>
      <c r="G4" s="3">
        <f t="shared" si="1"/>
        <v>9.3857142857142861</v>
      </c>
      <c r="H4" s="3">
        <v>0</v>
      </c>
      <c r="I4" s="2" t="s">
        <v>23</v>
      </c>
      <c r="J4" s="2" t="s">
        <v>24</v>
      </c>
      <c r="K4" s="2" t="s">
        <v>29</v>
      </c>
    </row>
    <row r="5" spans="1:12" s="2" customFormat="1" ht="19" customHeight="1" x14ac:dyDescent="0.2">
      <c r="A5" s="2" t="s">
        <v>44</v>
      </c>
      <c r="B5" s="2" t="s">
        <v>26</v>
      </c>
      <c r="C5" s="2" t="s">
        <v>22</v>
      </c>
      <c r="D5" s="3">
        <f xml:space="preserve"> 0.437*12*Sheet3!B1 + Rhesus_gestation</f>
        <v>61.120628571428568</v>
      </c>
      <c r="E5" s="3">
        <f xml:space="preserve">  0.437*12*Sheet3!B1  + Rhesus_gestation</f>
        <v>61.120628571428568</v>
      </c>
      <c r="F5" s="3">
        <f t="shared" si="0"/>
        <v>61.120628571428568</v>
      </c>
      <c r="G5" s="3">
        <f t="shared" si="1"/>
        <v>15.280157142857142</v>
      </c>
      <c r="H5" s="3">
        <v>0</v>
      </c>
      <c r="I5" s="2" t="s">
        <v>40</v>
      </c>
      <c r="J5" s="2" t="s">
        <v>24</v>
      </c>
      <c r="K5" s="2" t="s">
        <v>62</v>
      </c>
    </row>
    <row r="6" spans="1:12" s="2" customFormat="1" ht="19" customHeight="1" x14ac:dyDescent="0.2">
      <c r="A6" s="2" t="s">
        <v>44</v>
      </c>
      <c r="B6" s="2" t="s">
        <v>26</v>
      </c>
      <c r="C6" s="12" t="s">
        <v>57</v>
      </c>
      <c r="D6" s="3">
        <f xml:space="preserve"> 0.393*12*Sheet3!B1 + capuchin_gestation</f>
        <v>40.993085714285712</v>
      </c>
      <c r="E6" s="3">
        <f xml:space="preserve">  0.393*12*Sheet3!B1  + capuchin_gestation</f>
        <v>40.993085714285712</v>
      </c>
      <c r="F6" s="3">
        <f t="shared" si="0"/>
        <v>40.993085714285712</v>
      </c>
      <c r="G6" s="3">
        <f t="shared" si="1"/>
        <v>10.248271428571428</v>
      </c>
      <c r="H6" s="3">
        <v>0</v>
      </c>
      <c r="I6" s="2" t="s">
        <v>60</v>
      </c>
      <c r="J6" s="2" t="s">
        <v>24</v>
      </c>
      <c r="K6" s="2" t="s">
        <v>62</v>
      </c>
    </row>
    <row r="7" spans="1:12" s="2" customFormat="1" ht="19" customHeight="1" x14ac:dyDescent="0.2">
      <c r="A7" s="2" t="s">
        <v>44</v>
      </c>
      <c r="B7" s="2" t="s">
        <v>26</v>
      </c>
      <c r="C7" s="13" t="s">
        <v>68</v>
      </c>
      <c r="D7" s="3">
        <f xml:space="preserve"> 0.994*12*Sheet3!B1 + gorilla_gestation</f>
        <v>87.718971428571422</v>
      </c>
      <c r="E7" s="3">
        <f xml:space="preserve">  0.994*12*Sheet3!B1  + gorilla_gestation</f>
        <v>87.718971428571422</v>
      </c>
      <c r="F7" s="3">
        <f t="shared" si="0"/>
        <v>87.718971428571422</v>
      </c>
      <c r="G7" s="3">
        <f t="shared" si="1"/>
        <v>21.929742857142855</v>
      </c>
      <c r="H7" s="3">
        <v>1</v>
      </c>
      <c r="I7" s="2" t="s">
        <v>78</v>
      </c>
      <c r="J7" s="2" t="s">
        <v>24</v>
      </c>
      <c r="K7" s="2" t="s">
        <v>62</v>
      </c>
    </row>
    <row r="8" spans="1:12" s="2" customFormat="1" ht="19" customHeight="1" x14ac:dyDescent="0.2">
      <c r="A8" s="2" t="s">
        <v>44</v>
      </c>
      <c r="B8" s="2" t="s">
        <v>27</v>
      </c>
      <c r="C8" s="2" t="s">
        <v>6</v>
      </c>
      <c r="D8" s="3">
        <f xml:space="preserve"> 36*Sheet3!B1 +chimp_gestation</f>
        <v>234.85428571428571</v>
      </c>
      <c r="E8" s="3">
        <f xml:space="preserve"> 36*Sheet3!B1 +chimp_gestation</f>
        <v>234.85428571428571</v>
      </c>
      <c r="F8" s="3">
        <f t="shared" si="0"/>
        <v>234.85428571428571</v>
      </c>
      <c r="G8" s="3">
        <f t="shared" si="1"/>
        <v>58.713571428571427</v>
      </c>
      <c r="H8" s="3">
        <v>0</v>
      </c>
      <c r="I8" s="2" t="s">
        <v>35</v>
      </c>
      <c r="J8" s="2" t="s">
        <v>25</v>
      </c>
      <c r="K8" s="2" t="s">
        <v>29</v>
      </c>
    </row>
    <row r="9" spans="1:12" s="2" customFormat="1" ht="19" customHeight="1" x14ac:dyDescent="0.2">
      <c r="A9" s="2" t="s">
        <v>44</v>
      </c>
      <c r="B9" s="2" t="s">
        <v>27</v>
      </c>
      <c r="C9" s="2" t="s">
        <v>5</v>
      </c>
      <c r="D9" s="3">
        <f xml:space="preserve"> 72*Sheet3!B1 + human_gestation</f>
        <v>526.62857142857138</v>
      </c>
      <c r="E9" s="3">
        <f xml:space="preserve"> 72*Sheet3!B1 + human_gestation</f>
        <v>526.62857142857138</v>
      </c>
      <c r="F9" s="3">
        <f t="shared" si="0"/>
        <v>526.62857142857138</v>
      </c>
      <c r="G9" s="3">
        <f t="shared" si="1"/>
        <v>131.65714285714284</v>
      </c>
      <c r="H9" s="3">
        <v>0</v>
      </c>
      <c r="I9" s="2" t="s">
        <v>38</v>
      </c>
      <c r="J9" s="2" t="s">
        <v>25</v>
      </c>
      <c r="K9" s="2" t="s">
        <v>29</v>
      </c>
    </row>
    <row r="10" spans="1:12" s="2" customFormat="1" ht="19" customHeight="1" x14ac:dyDescent="0.2">
      <c r="A10" s="2" t="s">
        <v>44</v>
      </c>
      <c r="B10" s="2" t="s">
        <v>27</v>
      </c>
      <c r="C10" s="2" t="s">
        <v>4</v>
      </c>
      <c r="D10" s="3">
        <f xml:space="preserve"> 3.6*Sheet3!B1 + marmoset_gestation</f>
        <v>48.022857142857148</v>
      </c>
      <c r="E10" s="3">
        <f xml:space="preserve"> 3.6*Sheet3!B1 + marmoset_gestation</f>
        <v>48.022857142857148</v>
      </c>
      <c r="F10" s="3">
        <f t="shared" si="0"/>
        <v>48.022857142857148</v>
      </c>
      <c r="G10" s="3">
        <f t="shared" si="1"/>
        <v>12.005714285714287</v>
      </c>
      <c r="H10" s="3">
        <v>0</v>
      </c>
      <c r="I10" s="2" t="s">
        <v>30</v>
      </c>
      <c r="J10" s="2" t="s">
        <v>25</v>
      </c>
      <c r="K10" s="2" t="s">
        <v>29</v>
      </c>
    </row>
    <row r="11" spans="1:12" s="2" customFormat="1" ht="19" customHeight="1" x14ac:dyDescent="0.2">
      <c r="A11" s="2" t="s">
        <v>44</v>
      </c>
      <c r="B11" s="2" t="s">
        <v>27</v>
      </c>
      <c r="C11" s="2" t="s">
        <v>22</v>
      </c>
      <c r="D11" s="3">
        <f xml:space="preserve">  1.35*12*Sheet3!B1  + Rhesus_gestation</f>
        <v>108.23142857142858</v>
      </c>
      <c r="E11" s="3">
        <f xml:space="preserve">  1.35*12*Sheet3!B1  + Rhesus_gestation</f>
        <v>108.23142857142858</v>
      </c>
      <c r="F11" s="3">
        <f t="shared" si="0"/>
        <v>108.23142857142858</v>
      </c>
      <c r="G11" s="3">
        <f t="shared" si="1"/>
        <v>27.057857142857145</v>
      </c>
      <c r="H11" s="3">
        <v>0</v>
      </c>
      <c r="I11" s="2" t="s">
        <v>41</v>
      </c>
      <c r="J11" s="2" t="s">
        <v>25</v>
      </c>
      <c r="K11" s="2" t="s">
        <v>62</v>
      </c>
    </row>
    <row r="12" spans="1:12" s="2" customFormat="1" ht="19" customHeight="1" x14ac:dyDescent="0.2">
      <c r="A12" s="2" t="s">
        <v>44</v>
      </c>
      <c r="B12" s="2" t="s">
        <v>27</v>
      </c>
      <c r="C12" s="12" t="s">
        <v>57</v>
      </c>
      <c r="D12" s="3">
        <f xml:space="preserve">  1.15*12*Sheet3!B1  + capuchin_gestation</f>
        <v>80.054285714285712</v>
      </c>
      <c r="E12" s="3">
        <f xml:space="preserve">  1.15*12*Sheet3!B1  + capuchin_gestation</f>
        <v>80.054285714285712</v>
      </c>
      <c r="F12" s="3">
        <f t="shared" si="0"/>
        <v>80.054285714285712</v>
      </c>
      <c r="G12" s="3">
        <f t="shared" si="1"/>
        <v>20.013571428571428</v>
      </c>
      <c r="H12" s="3">
        <v>0</v>
      </c>
      <c r="I12" s="2" t="s">
        <v>61</v>
      </c>
      <c r="J12" s="2" t="s">
        <v>25</v>
      </c>
      <c r="K12" s="2" t="s">
        <v>62</v>
      </c>
    </row>
    <row r="13" spans="1:12" s="2" customFormat="1" ht="19" customHeight="1" x14ac:dyDescent="0.2">
      <c r="A13" s="2" t="s">
        <v>44</v>
      </c>
      <c r="B13" s="2" t="s">
        <v>27</v>
      </c>
      <c r="C13" s="13" t="s">
        <v>68</v>
      </c>
      <c r="D13" s="3">
        <f xml:space="preserve">  3.5*12*Sheet3!B1  + gorilla_gestation</f>
        <v>217.02857142857141</v>
      </c>
      <c r="E13" s="3">
        <f xml:space="preserve">  3.5*12*Sheet3!B1  + gorilla_gestation</f>
        <v>217.02857142857141</v>
      </c>
      <c r="F13" s="3">
        <f t="shared" si="0"/>
        <v>217.02857142857141</v>
      </c>
      <c r="G13" s="3">
        <f t="shared" si="1"/>
        <v>54.257142857142853</v>
      </c>
      <c r="H13" s="3">
        <v>0</v>
      </c>
      <c r="I13" s="2" t="s">
        <v>77</v>
      </c>
      <c r="J13" s="2" t="s">
        <v>25</v>
      </c>
      <c r="K13" s="2" t="s">
        <v>62</v>
      </c>
      <c r="L13" s="11"/>
    </row>
    <row r="14" spans="1:12" s="2" customFormat="1" ht="19" customHeight="1" x14ac:dyDescent="0.2">
      <c r="A14" s="2" t="s">
        <v>44</v>
      </c>
      <c r="B14" s="2" t="s">
        <v>10</v>
      </c>
      <c r="C14" s="2" t="s">
        <v>6</v>
      </c>
      <c r="D14" s="3">
        <f xml:space="preserve"> 227.8/7</f>
        <v>32.542857142857144</v>
      </c>
      <c r="E14" s="3">
        <f xml:space="preserve"> 227.8/7</f>
        <v>32.542857142857144</v>
      </c>
      <c r="F14" s="3">
        <f t="shared" si="0"/>
        <v>32.542857142857144</v>
      </c>
      <c r="G14" s="3">
        <f t="shared" si="1"/>
        <v>8.1357142857142861</v>
      </c>
      <c r="H14" s="3">
        <v>9.18</v>
      </c>
      <c r="I14" s="2" t="s">
        <v>49</v>
      </c>
      <c r="J14" s="2" t="s">
        <v>10</v>
      </c>
      <c r="K14" s="2" t="s">
        <v>50</v>
      </c>
    </row>
    <row r="15" spans="1:12" s="2" customFormat="1" ht="19" customHeight="1" x14ac:dyDescent="0.2">
      <c r="A15" s="2" t="s">
        <v>44</v>
      </c>
      <c r="B15" s="2" t="s">
        <v>10</v>
      </c>
      <c r="C15" s="2" t="s">
        <v>5</v>
      </c>
      <c r="D15" s="3">
        <f>270/7</f>
        <v>38.571428571428569</v>
      </c>
      <c r="E15" s="3">
        <f>270/7</f>
        <v>38.571428571428569</v>
      </c>
      <c r="F15" s="3">
        <f t="shared" si="0"/>
        <v>38.571428571428569</v>
      </c>
      <c r="G15" s="3">
        <f t="shared" si="1"/>
        <v>9.6428571428571423</v>
      </c>
      <c r="H15" s="3">
        <v>10</v>
      </c>
      <c r="I15" s="2" t="s">
        <v>48</v>
      </c>
      <c r="J15" s="2" t="s">
        <v>10</v>
      </c>
      <c r="K15" s="2" t="s">
        <v>51</v>
      </c>
    </row>
    <row r="16" spans="1:12" s="2" customFormat="1" ht="19" customHeight="1" x14ac:dyDescent="0.2">
      <c r="A16" s="2" t="s">
        <v>44</v>
      </c>
      <c r="B16" s="2" t="s">
        <v>10</v>
      </c>
      <c r="C16" s="2" t="s">
        <v>4</v>
      </c>
      <c r="D16" s="3">
        <f xml:space="preserve"> 145/7</f>
        <v>20.714285714285715</v>
      </c>
      <c r="E16" s="3">
        <f xml:space="preserve"> 145/7</f>
        <v>20.714285714285715</v>
      </c>
      <c r="F16" s="3">
        <f t="shared" si="0"/>
        <v>20.714285714285715</v>
      </c>
      <c r="G16" s="3">
        <f t="shared" si="1"/>
        <v>5.1785714285714288</v>
      </c>
      <c r="H16" s="3">
        <v>5</v>
      </c>
      <c r="I16" s="2" t="s">
        <v>54</v>
      </c>
      <c r="J16" s="2" t="s">
        <v>10</v>
      </c>
      <c r="K16" s="2" t="s">
        <v>53</v>
      </c>
    </row>
    <row r="17" spans="1:15" s="2" customFormat="1" ht="19" customHeight="1" x14ac:dyDescent="0.2">
      <c r="A17" s="2" t="s">
        <v>44</v>
      </c>
      <c r="B17" s="2" t="s">
        <v>10</v>
      </c>
      <c r="C17" s="2" t="s">
        <v>22</v>
      </c>
      <c r="D17" s="3">
        <f>166.5/7</f>
        <v>23.785714285714285</v>
      </c>
      <c r="E17" s="3">
        <f>166.5/7</f>
        <v>23.785714285714285</v>
      </c>
      <c r="F17" s="3">
        <f t="shared" si="0"/>
        <v>23.785714285714285</v>
      </c>
      <c r="G17" s="3">
        <f t="shared" si="1"/>
        <v>5.9464285714285712</v>
      </c>
      <c r="H17" s="3">
        <v>7.4</v>
      </c>
      <c r="I17" s="2" t="s">
        <v>56</v>
      </c>
      <c r="J17" s="2" t="s">
        <v>10</v>
      </c>
      <c r="K17" s="2" t="s">
        <v>55</v>
      </c>
    </row>
    <row r="18" spans="1:15" s="2" customFormat="1" ht="19" customHeight="1" x14ac:dyDescent="0.2">
      <c r="A18" s="2" t="s">
        <v>44</v>
      </c>
      <c r="B18" s="2" t="s">
        <v>10</v>
      </c>
      <c r="C18" s="12" t="s">
        <v>57</v>
      </c>
      <c r="D18" s="3">
        <f>157/7</f>
        <v>22.428571428571427</v>
      </c>
      <c r="E18" s="3">
        <f>157/7</f>
        <v>22.428571428571427</v>
      </c>
      <c r="F18" s="3">
        <f t="shared" si="0"/>
        <v>22.428571428571427</v>
      </c>
      <c r="G18" s="3">
        <f t="shared" si="1"/>
        <v>5.6071428571428568</v>
      </c>
      <c r="H18" s="3">
        <v>2.5</v>
      </c>
      <c r="I18" s="2" t="s">
        <v>59</v>
      </c>
      <c r="J18" s="2" t="s">
        <v>10</v>
      </c>
      <c r="K18" s="2" t="s">
        <v>58</v>
      </c>
    </row>
    <row r="19" spans="1:15" s="2" customFormat="1" ht="19" customHeight="1" x14ac:dyDescent="0.2">
      <c r="A19" s="2" t="s">
        <v>44</v>
      </c>
      <c r="B19" s="2" t="s">
        <v>10</v>
      </c>
      <c r="C19" s="13" t="s">
        <v>68</v>
      </c>
      <c r="D19" s="3">
        <f>255/7</f>
        <v>36.428571428571431</v>
      </c>
      <c r="E19" s="3">
        <f>255/7</f>
        <v>36.428571428571431</v>
      </c>
      <c r="F19" s="3">
        <f t="shared" si="0"/>
        <v>36.428571428571431</v>
      </c>
      <c r="G19" s="3">
        <f t="shared" si="1"/>
        <v>9.1071428571428577</v>
      </c>
      <c r="H19" s="3">
        <v>2</v>
      </c>
      <c r="I19" s="2" t="s">
        <v>69</v>
      </c>
      <c r="J19" s="2" t="s">
        <v>10</v>
      </c>
      <c r="K19" s="14" t="s">
        <v>70</v>
      </c>
    </row>
    <row r="20" spans="1:15" s="2" customFormat="1" ht="19" customHeight="1" x14ac:dyDescent="0.2">
      <c r="A20" s="2" t="s">
        <v>44</v>
      </c>
      <c r="B20" s="2" t="s">
        <v>31</v>
      </c>
      <c r="C20" s="2" t="s">
        <v>6</v>
      </c>
      <c r="D20" s="3">
        <f xml:space="preserve"> 96*Sheet3!B1 +_xlfn.SINGLE( chimp_gestation)</f>
        <v>492.85428571428565</v>
      </c>
      <c r="E20" s="3">
        <f xml:space="preserve"> 96*Sheet3!B1+_xlfn.SINGLE( chimp_gestation)</f>
        <v>492.85428571428565</v>
      </c>
      <c r="F20" s="3">
        <f t="shared" si="0"/>
        <v>492.85428571428565</v>
      </c>
      <c r="G20" s="3">
        <f t="shared" si="1"/>
        <v>123.21357142857141</v>
      </c>
      <c r="H20" s="3">
        <v>0</v>
      </c>
      <c r="I20" s="2" t="s">
        <v>36</v>
      </c>
      <c r="J20" s="2" t="s">
        <v>33</v>
      </c>
      <c r="K20" s="2" t="s">
        <v>29</v>
      </c>
    </row>
    <row r="21" spans="1:15" s="2" customFormat="1" ht="19" customHeight="1" x14ac:dyDescent="0.2">
      <c r="A21" s="2" t="s">
        <v>44</v>
      </c>
      <c r="B21" s="2" t="s">
        <v>31</v>
      </c>
      <c r="C21" s="2" t="s">
        <v>5</v>
      </c>
      <c r="D21" s="3">
        <f xml:space="preserve"> 144*Sheet3!B1 + human_gestation</f>
        <v>836.22857142857129</v>
      </c>
      <c r="E21" s="3">
        <f xml:space="preserve"> 144*Sheet3!B1 + human_gestation</f>
        <v>836.22857142857129</v>
      </c>
      <c r="F21" s="3">
        <f t="shared" si="0"/>
        <v>836.22857142857129</v>
      </c>
      <c r="G21" s="3">
        <f t="shared" si="1"/>
        <v>209.05714285714282</v>
      </c>
      <c r="H21" s="3">
        <v>0</v>
      </c>
      <c r="I21" s="2" t="s">
        <v>39</v>
      </c>
      <c r="J21" s="2" t="s">
        <v>33</v>
      </c>
      <c r="K21" s="2" t="s">
        <v>29</v>
      </c>
    </row>
    <row r="22" spans="1:15" s="4" customFormat="1" ht="19" customHeight="1" x14ac:dyDescent="0.2">
      <c r="A22" s="2" t="s">
        <v>44</v>
      </c>
      <c r="B22" s="2" t="s">
        <v>31</v>
      </c>
      <c r="C22" s="2" t="s">
        <v>4</v>
      </c>
      <c r="D22" s="3">
        <f xml:space="preserve"> 15*Sheet3!B1 + marmoset_gestation</f>
        <v>97.042857142857144</v>
      </c>
      <c r="E22" s="3">
        <f xml:space="preserve"> 15*Sheet3!B1 + marmoset_gestation</f>
        <v>97.042857142857144</v>
      </c>
      <c r="F22" s="3">
        <f t="shared" si="0"/>
        <v>97.042857142857144</v>
      </c>
      <c r="G22" s="3">
        <f t="shared" si="1"/>
        <v>24.260714285714286</v>
      </c>
      <c r="H22" s="3">
        <v>0</v>
      </c>
      <c r="I22" s="2" t="s">
        <v>32</v>
      </c>
      <c r="J22" s="2" t="s">
        <v>33</v>
      </c>
      <c r="K22" s="2" t="s">
        <v>29</v>
      </c>
      <c r="M22" s="5"/>
      <c r="N22" s="5"/>
      <c r="O22" s="5"/>
    </row>
    <row r="23" spans="1:15" s="4" customFormat="1" ht="19" customHeight="1" x14ac:dyDescent="0.2">
      <c r="A23" s="2" t="s">
        <v>44</v>
      </c>
      <c r="B23" s="2" t="s">
        <v>31</v>
      </c>
      <c r="C23" s="2" t="s">
        <v>22</v>
      </c>
      <c r="D23" s="3">
        <f xml:space="preserve"> 30*Sheet3!B1 + Rhesus_gestation</f>
        <v>167.57142857142856</v>
      </c>
      <c r="E23" s="3">
        <f xml:space="preserve"> 30*Sheet3!B1  + Rhesus_gestation</f>
        <v>167.57142857142856</v>
      </c>
      <c r="F23" s="3">
        <f t="shared" si="0"/>
        <v>167.57142857142856</v>
      </c>
      <c r="G23" s="3">
        <f t="shared" si="1"/>
        <v>41.892857142857139</v>
      </c>
      <c r="H23" s="3">
        <v>0</v>
      </c>
      <c r="I23" s="2" t="s">
        <v>42</v>
      </c>
      <c r="J23" s="2" t="s">
        <v>33</v>
      </c>
      <c r="K23" s="2" t="s">
        <v>29</v>
      </c>
      <c r="M23" s="5"/>
      <c r="N23" s="5"/>
      <c r="O23" s="5"/>
    </row>
    <row r="24" spans="1:15" s="4" customFormat="1" ht="19" customHeight="1" x14ac:dyDescent="0.2">
      <c r="A24" s="2" t="s">
        <v>44</v>
      </c>
      <c r="B24" s="2" t="s">
        <v>31</v>
      </c>
      <c r="C24" s="12" t="s">
        <v>57</v>
      </c>
      <c r="D24" s="3">
        <f xml:space="preserve"> 4*12*Sheet3!B1 + capuchin_gestation</f>
        <v>227.1142857142857</v>
      </c>
      <c r="E24" s="3">
        <f xml:space="preserve"> 4*12*Sheet3!B1 + capuchin_gestation</f>
        <v>227.1142857142857</v>
      </c>
      <c r="F24" s="3">
        <f t="shared" si="0"/>
        <v>227.1142857142857</v>
      </c>
      <c r="G24" s="3">
        <f t="shared" si="1"/>
        <v>56.778571428571425</v>
      </c>
      <c r="H24" s="3">
        <v>0</v>
      </c>
      <c r="I24" s="2" t="s">
        <v>64</v>
      </c>
      <c r="J24" s="2" t="s">
        <v>33</v>
      </c>
      <c r="K24" s="2" t="s">
        <v>63</v>
      </c>
      <c r="M24" s="5"/>
      <c r="N24" s="5"/>
      <c r="O24" s="5"/>
    </row>
    <row r="25" spans="1:15" s="4" customFormat="1" ht="19" customHeight="1" x14ac:dyDescent="0.2">
      <c r="A25" s="2" t="s">
        <v>44</v>
      </c>
      <c r="B25" s="2" t="s">
        <v>31</v>
      </c>
      <c r="C25" s="13" t="s">
        <v>68</v>
      </c>
      <c r="D25" s="3">
        <f xml:space="preserve"> 7.7*12*Sheet3!B1 + gorilla_gestation</f>
        <v>433.74857142857144</v>
      </c>
      <c r="E25" s="3">
        <f xml:space="preserve"> 7.7*12*Sheet3!B1 + gorilla_gestation</f>
        <v>433.74857142857144</v>
      </c>
      <c r="F25" s="3">
        <f xml:space="preserve"> 7.7*12*Sheet3!B1 + gorilla_gestation</f>
        <v>433.74857142857144</v>
      </c>
      <c r="G25" s="3">
        <f t="shared" si="1"/>
        <v>108.43714285714286</v>
      </c>
      <c r="H25" s="3">
        <v>0</v>
      </c>
      <c r="I25" s="2" t="s">
        <v>75</v>
      </c>
      <c r="J25" s="2" t="s">
        <v>74</v>
      </c>
      <c r="K25" s="15" t="s">
        <v>76</v>
      </c>
      <c r="M25" s="5"/>
      <c r="N25" s="5"/>
      <c r="O25" s="5"/>
    </row>
    <row r="26" spans="1:15" s="4" customFormat="1" ht="19" customHeight="1" x14ac:dyDescent="0.2">
      <c r="A26" s="2" t="s">
        <v>44</v>
      </c>
      <c r="B26" s="2" t="s">
        <v>3</v>
      </c>
      <c r="C26" s="2" t="s">
        <v>6</v>
      </c>
      <c r="D26" s="3">
        <f xml:space="preserve"> AVERAGE(4.2,4,4.1,4)*(12*Sheet3!B1) +_xlfn.SINGLE( chimp_gestation)</f>
        <v>290.32428571428568</v>
      </c>
      <c r="E26" s="3">
        <f xml:space="preserve"> AVERAGE(7.2,5,6,7)*(12*Sheet3!B1) +_xlfn.SINGLE( chimp_gestation)</f>
        <v>405.13428571428562</v>
      </c>
      <c r="F26" s="3">
        <f t="shared" ref="F26:F31" si="2">(E26+D26)/2</f>
        <v>347.72928571428565</v>
      </c>
      <c r="G26" s="3">
        <f t="shared" si="1"/>
        <v>86.932321428571413</v>
      </c>
      <c r="H26" s="3">
        <v>0</v>
      </c>
      <c r="I26" s="2" t="s">
        <v>21</v>
      </c>
      <c r="J26" s="2" t="s">
        <v>20</v>
      </c>
      <c r="K26" s="2" t="s">
        <v>16</v>
      </c>
      <c r="M26" s="5"/>
      <c r="N26" s="5"/>
      <c r="O26" s="5"/>
    </row>
    <row r="27" spans="1:15" s="4" customFormat="1" ht="19" customHeight="1" x14ac:dyDescent="0.2">
      <c r="A27" s="2" t="s">
        <v>44</v>
      </c>
      <c r="B27" s="2" t="s">
        <v>3</v>
      </c>
      <c r="C27" s="2" t="s">
        <v>5</v>
      </c>
      <c r="D27" s="3">
        <f>12*Sheet3!B1 + human_gestation</f>
        <v>268.62857142857138</v>
      </c>
      <c r="E27" s="3">
        <f>24*Sheet3!B1 + human_gestation</f>
        <v>320.2285714285714</v>
      </c>
      <c r="F27" s="3">
        <f t="shared" si="2"/>
        <v>294.42857142857139</v>
      </c>
      <c r="G27" s="3">
        <f t="shared" si="1"/>
        <v>73.607142857142847</v>
      </c>
      <c r="H27" s="3">
        <v>0</v>
      </c>
      <c r="I27" s="2" t="s">
        <v>15</v>
      </c>
      <c r="J27" s="2" t="s">
        <v>9</v>
      </c>
      <c r="K27" s="2" t="s">
        <v>8</v>
      </c>
    </row>
    <row r="28" spans="1:15" s="4" customFormat="1" ht="19" customHeight="1" x14ac:dyDescent="0.2">
      <c r="A28" s="2" t="s">
        <v>44</v>
      </c>
      <c r="B28" s="2" t="s">
        <v>3</v>
      </c>
      <c r="C28" s="2" t="s">
        <v>4</v>
      </c>
      <c r="D28" s="3">
        <f xml:space="preserve"> 12 + marmoset_gestation</f>
        <v>44.542857142857144</v>
      </c>
      <c r="E28" s="3">
        <f xml:space="preserve"> 16 + marmoset_gestation</f>
        <v>48.542857142857144</v>
      </c>
      <c r="F28" s="3">
        <f t="shared" si="2"/>
        <v>46.542857142857144</v>
      </c>
      <c r="G28" s="3">
        <f t="shared" si="1"/>
        <v>11.635714285714286</v>
      </c>
      <c r="H28" s="3">
        <v>0</v>
      </c>
      <c r="I28" s="2" t="s">
        <v>14</v>
      </c>
      <c r="J28" s="2" t="s">
        <v>7</v>
      </c>
      <c r="K28" s="2" t="s">
        <v>8</v>
      </c>
    </row>
    <row r="29" spans="1:15" s="4" customFormat="1" ht="19" customHeight="1" x14ac:dyDescent="0.2">
      <c r="A29" s="2" t="s">
        <v>44</v>
      </c>
      <c r="B29" s="2" t="s">
        <v>3</v>
      </c>
      <c r="C29" s="2" t="s">
        <v>22</v>
      </c>
      <c r="D29" s="3">
        <f>10*Sheet3!B1 + Rhesus_gestation</f>
        <v>81.571428571428569</v>
      </c>
      <c r="E29" s="3">
        <f>14*Sheet3!B1 + Rhesus_gestation</f>
        <v>98.771428571428572</v>
      </c>
      <c r="F29" s="3">
        <f t="shared" si="2"/>
        <v>90.171428571428578</v>
      </c>
      <c r="G29" s="3">
        <f t="shared" si="1"/>
        <v>22.542857142857144</v>
      </c>
      <c r="H29" s="3">
        <v>0</v>
      </c>
      <c r="I29" s="2" t="s">
        <v>18</v>
      </c>
      <c r="J29" s="2" t="s">
        <v>17</v>
      </c>
      <c r="K29" s="2" t="s">
        <v>19</v>
      </c>
    </row>
    <row r="30" spans="1:15" s="4" customFormat="1" ht="19" customHeight="1" x14ac:dyDescent="0.2">
      <c r="A30" s="2" t="s">
        <v>44</v>
      </c>
      <c r="B30" s="2" t="s">
        <v>3</v>
      </c>
      <c r="C30" s="12" t="s">
        <v>57</v>
      </c>
      <c r="D30" s="3">
        <f>12*Sheet3!B1 + capuchin_gestation</f>
        <v>72.314285714285717</v>
      </c>
      <c r="E30" s="3">
        <f>12*Sheet3!B1 + capuchin_gestation</f>
        <v>72.314285714285717</v>
      </c>
      <c r="F30" s="3">
        <f t="shared" si="2"/>
        <v>72.314285714285717</v>
      </c>
      <c r="G30" s="3">
        <f t="shared" si="1"/>
        <v>18.078571428571429</v>
      </c>
      <c r="H30" s="3">
        <v>0</v>
      </c>
      <c r="I30" s="2" t="s">
        <v>45</v>
      </c>
      <c r="J30" s="2" t="s">
        <v>65</v>
      </c>
      <c r="K30" s="2" t="s">
        <v>66</v>
      </c>
    </row>
    <row r="31" spans="1:15" s="2" customFormat="1" ht="19" customHeight="1" x14ac:dyDescent="0.2">
      <c r="A31" s="2" t="s">
        <v>44</v>
      </c>
      <c r="B31" s="2" t="s">
        <v>3</v>
      </c>
      <c r="C31" s="13" t="s">
        <v>68</v>
      </c>
      <c r="D31" s="3">
        <f>27*Sheet3!B1 + gorilla_gestation</f>
        <v>152.52857142857141</v>
      </c>
      <c r="E31" s="3">
        <f>51*Sheet3!B1 + gorilla_gestation</f>
        <v>255.7285714285714</v>
      </c>
      <c r="F31" s="3">
        <f t="shared" si="2"/>
        <v>204.12857142857141</v>
      </c>
      <c r="G31" s="3">
        <f t="shared" si="1"/>
        <v>51.032142857142851</v>
      </c>
      <c r="H31" s="3">
        <v>0</v>
      </c>
      <c r="I31" s="2" t="s">
        <v>71</v>
      </c>
      <c r="J31" s="2" t="s">
        <v>72</v>
      </c>
      <c r="K31" s="15" t="s">
        <v>73</v>
      </c>
    </row>
    <row r="32" spans="1:15" s="2" customFormat="1" ht="19" customHeight="1" x14ac:dyDescent="0.2">
      <c r="D32" s="3"/>
      <c r="E32" s="3"/>
      <c r="F32" s="3"/>
      <c r="G32" s="3"/>
      <c r="H32" s="3"/>
    </row>
    <row r="33" spans="1:11" s="2" customFormat="1" ht="19" customHeight="1" x14ac:dyDescent="0.2">
      <c r="D33" s="3"/>
      <c r="E33" s="3"/>
      <c r="F33" s="3"/>
      <c r="G33" s="3"/>
      <c r="H33" s="3"/>
    </row>
    <row r="34" spans="1:11" s="2" customFormat="1" ht="19" customHeight="1" x14ac:dyDescent="0.2">
      <c r="D34" s="3"/>
      <c r="E34" s="3"/>
      <c r="F34" s="3"/>
      <c r="G34" s="3"/>
      <c r="H34" s="3"/>
      <c r="K34" s="8"/>
    </row>
    <row r="35" spans="1:11" s="2" customFormat="1" ht="19" customHeight="1" x14ac:dyDescent="0.2">
      <c r="D35" s="3"/>
      <c r="E35" s="3"/>
      <c r="F35" s="3"/>
      <c r="G35" s="3"/>
      <c r="H35" s="3"/>
      <c r="K35" s="8"/>
    </row>
    <row r="36" spans="1:11" s="2" customFormat="1" ht="19" customHeight="1" x14ac:dyDescent="0.2">
      <c r="D36" s="3"/>
      <c r="E36" s="3"/>
      <c r="F36" s="3"/>
      <c r="G36" s="3"/>
      <c r="H36" s="3"/>
      <c r="K36" s="9"/>
    </row>
    <row r="37" spans="1:11" s="2" customFormat="1" ht="19" customHeight="1" x14ac:dyDescent="0.2">
      <c r="D37" s="3"/>
      <c r="E37" s="3"/>
      <c r="F37" s="3"/>
      <c r="G37" s="3"/>
      <c r="H37" s="3"/>
    </row>
    <row r="38" spans="1:11" s="2" customFormat="1" ht="19" customHeight="1" x14ac:dyDescent="0.2">
      <c r="D38" s="3"/>
      <c r="E38" s="3"/>
      <c r="F38" s="3"/>
      <c r="G38" s="3"/>
      <c r="H38" s="3"/>
    </row>
    <row r="39" spans="1:11" s="2" customFormat="1" ht="19" customHeight="1" x14ac:dyDescent="0.2">
      <c r="D39" s="3"/>
      <c r="E39" s="3"/>
      <c r="F39" s="3"/>
      <c r="G39" s="3"/>
      <c r="H39" s="3"/>
      <c r="K39" s="8"/>
    </row>
    <row r="40" spans="1:11" s="2" customFormat="1" ht="19" customHeight="1" x14ac:dyDescent="0.2">
      <c r="D40" s="3"/>
      <c r="E40" s="3"/>
      <c r="F40" s="3"/>
      <c r="G40" s="3"/>
      <c r="H40" s="3"/>
      <c r="K40" s="8"/>
    </row>
    <row r="41" spans="1:11" s="2" customFormat="1" ht="19" customHeight="1" x14ac:dyDescent="0.2">
      <c r="A41" s="4"/>
      <c r="B41" s="4"/>
      <c r="C41" s="4"/>
      <c r="D41" s="5"/>
      <c r="E41" s="5"/>
      <c r="F41" s="5"/>
      <c r="G41" s="3"/>
      <c r="H41" s="3"/>
      <c r="I41" s="4"/>
      <c r="J41" s="4"/>
      <c r="K41" s="4"/>
    </row>
    <row r="42" spans="1:11" s="2" customFormat="1" ht="19" customHeight="1" x14ac:dyDescent="0.2">
      <c r="A42" s="4"/>
      <c r="B42" s="4"/>
      <c r="C42" s="4"/>
      <c r="D42" s="5"/>
      <c r="E42" s="5"/>
      <c r="F42" s="5"/>
      <c r="G42" s="3"/>
      <c r="H42" s="3"/>
      <c r="I42" s="4"/>
      <c r="J42" s="4"/>
      <c r="K42" s="4"/>
    </row>
    <row r="43" spans="1:11" s="2" customFormat="1" ht="19" customHeight="1" x14ac:dyDescent="0.2">
      <c r="A43" s="4"/>
      <c r="B43" s="4"/>
      <c r="C43" s="4"/>
      <c r="D43" s="5"/>
      <c r="E43" s="5"/>
      <c r="F43" s="5"/>
      <c r="G43" s="3"/>
      <c r="H43" s="3"/>
      <c r="I43" s="4"/>
      <c r="J43" s="4"/>
      <c r="K43" s="4"/>
    </row>
    <row r="44" spans="1:11" s="2" customFormat="1" ht="19" customHeight="1" x14ac:dyDescent="0.2">
      <c r="A44" s="4"/>
      <c r="B44" s="4"/>
      <c r="C44" s="4"/>
      <c r="D44" s="5"/>
      <c r="E44" s="5"/>
      <c r="F44" s="5"/>
      <c r="G44" s="3"/>
      <c r="H44" s="3"/>
      <c r="I44" s="4"/>
      <c r="J44" s="4"/>
      <c r="K44" s="4"/>
    </row>
    <row r="45" spans="1:11" ht="19" customHeight="1" x14ac:dyDescent="0.2">
      <c r="G45" s="3"/>
      <c r="H45" s="3"/>
    </row>
    <row r="46" spans="1:11" ht="19" customHeight="1" x14ac:dyDescent="0.2">
      <c r="A46" s="4"/>
      <c r="B46" s="4"/>
      <c r="C46" s="4"/>
      <c r="D46" s="5"/>
      <c r="E46" s="5"/>
      <c r="F46" s="5"/>
      <c r="G46" s="3"/>
      <c r="H46" s="3"/>
      <c r="I46" s="4"/>
      <c r="J46" s="4"/>
      <c r="K46" s="4"/>
    </row>
    <row r="47" spans="1:11" ht="19" customHeight="1" x14ac:dyDescent="0.2">
      <c r="G47" s="3"/>
      <c r="H47" s="3"/>
    </row>
    <row r="48" spans="1:11" ht="19" customHeight="1" x14ac:dyDescent="0.2">
      <c r="A48" s="4"/>
      <c r="B48" s="4"/>
      <c r="C48" s="4"/>
      <c r="D48" s="5"/>
      <c r="E48" s="5"/>
      <c r="F48" s="5"/>
      <c r="G48" s="3"/>
      <c r="H48" s="3"/>
      <c r="I48" s="4"/>
      <c r="J48" s="4"/>
      <c r="K48" s="4"/>
    </row>
    <row r="49" spans="1:11" ht="19" customHeight="1" x14ac:dyDescent="0.2">
      <c r="A49" s="4"/>
      <c r="B49" s="4"/>
      <c r="C49" s="4"/>
      <c r="D49" s="5"/>
      <c r="E49" s="5"/>
      <c r="F49" s="5"/>
      <c r="G49" s="3"/>
      <c r="H49" s="3"/>
      <c r="I49" s="4"/>
      <c r="J49" s="4"/>
      <c r="K49" s="4"/>
    </row>
    <row r="50" spans="1:11" ht="19" customHeight="1" x14ac:dyDescent="0.2">
      <c r="A50" s="4"/>
      <c r="B50" s="4"/>
      <c r="C50" s="4"/>
      <c r="D50" s="5"/>
      <c r="E50" s="5"/>
      <c r="F50" s="5"/>
      <c r="G50" s="3"/>
      <c r="H50" s="3"/>
      <c r="I50" s="4"/>
      <c r="J50" s="4"/>
      <c r="K50" s="4"/>
    </row>
    <row r="51" spans="1:11" s="4" customFormat="1" ht="19" customHeight="1" x14ac:dyDescent="0.2">
      <c r="D51" s="5"/>
      <c r="E51" s="5"/>
      <c r="F51" s="5"/>
      <c r="G51" s="3"/>
      <c r="H51" s="3"/>
    </row>
    <row r="52" spans="1:11" s="4" customFormat="1" ht="19" customHeight="1" x14ac:dyDescent="0.2">
      <c r="D52" s="5"/>
      <c r="E52" s="5"/>
      <c r="F52" s="5"/>
      <c r="G52" s="3"/>
      <c r="H52" s="3"/>
    </row>
    <row r="53" spans="1:11" ht="19" customHeight="1" x14ac:dyDescent="0.2">
      <c r="A53" s="4"/>
      <c r="B53" s="4"/>
      <c r="C53" s="4"/>
      <c r="G53" s="3"/>
      <c r="H53" s="3"/>
    </row>
    <row r="54" spans="1:11" ht="19" customHeight="1" x14ac:dyDescent="0.2">
      <c r="G54" s="3"/>
      <c r="H54" s="3"/>
      <c r="K54" s="10"/>
    </row>
    <row r="55" spans="1:11" s="4" customFormat="1" ht="19" customHeight="1" x14ac:dyDescent="0.2">
      <c r="A55" s="6"/>
      <c r="B55" s="6"/>
      <c r="C55" s="6"/>
      <c r="D55" s="7"/>
      <c r="E55" s="7"/>
      <c r="F55" s="7"/>
      <c r="G55" s="3"/>
      <c r="H55" s="3"/>
      <c r="I55" s="6"/>
      <c r="J55" s="6"/>
      <c r="K55" s="6"/>
    </row>
    <row r="56" spans="1:11" s="4" customFormat="1" ht="19" customHeight="1" x14ac:dyDescent="0.2">
      <c r="D56" s="7"/>
      <c r="E56" s="7"/>
      <c r="F56" s="7"/>
      <c r="G56" s="3"/>
      <c r="H56" s="3"/>
      <c r="I56" s="6"/>
      <c r="J56" s="6"/>
      <c r="K56" s="6"/>
    </row>
    <row r="57" spans="1:11" ht="19" customHeight="1" x14ac:dyDescent="0.2">
      <c r="A57" s="4"/>
      <c r="B57" s="4"/>
      <c r="C57" s="4"/>
      <c r="D57" s="5"/>
      <c r="E57" s="5"/>
      <c r="F57" s="5"/>
      <c r="G57" s="3"/>
      <c r="H57" s="3"/>
      <c r="I57" s="4"/>
      <c r="J57" s="4"/>
      <c r="K57" s="4"/>
    </row>
    <row r="58" spans="1:11" ht="19" customHeight="1" x14ac:dyDescent="0.2">
      <c r="G58" s="3"/>
      <c r="H58" s="3"/>
    </row>
    <row r="59" spans="1:11" ht="19" customHeight="1" x14ac:dyDescent="0.2">
      <c r="G59" s="3"/>
      <c r="H59" s="3"/>
    </row>
    <row r="60" spans="1:11" ht="19" customHeight="1" x14ac:dyDescent="0.2">
      <c r="A60" s="4"/>
      <c r="B60" s="4"/>
      <c r="C60" s="4"/>
      <c r="D60" s="5"/>
      <c r="E60" s="5"/>
      <c r="F60" s="5"/>
      <c r="G60" s="3"/>
      <c r="H60" s="3"/>
      <c r="I60" s="4"/>
      <c r="J60" s="4"/>
      <c r="K60" s="4"/>
    </row>
    <row r="61" spans="1:11" ht="19" customHeight="1" x14ac:dyDescent="0.2">
      <c r="G61" s="3"/>
      <c r="H61" s="3"/>
    </row>
    <row r="62" spans="1:11" ht="19" customHeight="1" x14ac:dyDescent="0.2">
      <c r="A62" s="4"/>
      <c r="B62" s="4"/>
      <c r="C62" s="4"/>
      <c r="D62" s="5"/>
      <c r="E62" s="5"/>
      <c r="F62" s="5"/>
      <c r="G62" s="3"/>
      <c r="H62" s="3"/>
      <c r="I62" s="4"/>
      <c r="J62" s="4"/>
      <c r="K62" s="4"/>
    </row>
    <row r="63" spans="1:11" ht="19" customHeight="1" x14ac:dyDescent="0.2">
      <c r="A63" s="4"/>
      <c r="B63" s="4"/>
      <c r="C63" s="4"/>
      <c r="D63" s="5"/>
      <c r="E63" s="5"/>
      <c r="F63" s="5"/>
      <c r="G63" s="3"/>
      <c r="H63" s="3"/>
      <c r="I63" s="4"/>
      <c r="J63" s="4"/>
      <c r="K63" s="4"/>
    </row>
    <row r="64" spans="1:11" ht="19" customHeight="1" x14ac:dyDescent="0.2">
      <c r="A64" s="4"/>
      <c r="B64" s="4"/>
      <c r="C64" s="4"/>
      <c r="D64" s="5"/>
      <c r="E64" s="5"/>
      <c r="F64" s="5"/>
      <c r="G64" s="3"/>
      <c r="H64" s="3"/>
      <c r="I64" s="4"/>
      <c r="J64" s="4"/>
      <c r="K64" s="4"/>
    </row>
    <row r="65" spans="1:15" ht="19" customHeight="1" x14ac:dyDescent="0.2">
      <c r="G65" s="3"/>
      <c r="H65" s="3"/>
      <c r="M65" s="7"/>
      <c r="N65" s="7"/>
      <c r="O65" s="7"/>
    </row>
    <row r="66" spans="1:15" s="4" customFormat="1" ht="19" customHeight="1" x14ac:dyDescent="0.2">
      <c r="A66" s="6"/>
      <c r="B66" s="6"/>
      <c r="C66" s="6"/>
      <c r="D66" s="7"/>
      <c r="E66" s="7"/>
      <c r="F66" s="5"/>
      <c r="G66" s="3"/>
      <c r="H66" s="3"/>
      <c r="I66" s="6"/>
      <c r="J66" s="6"/>
      <c r="K66" s="6"/>
      <c r="M66" s="5"/>
      <c r="N66" s="5"/>
      <c r="O66" s="5"/>
    </row>
    <row r="67" spans="1:15" s="4" customFormat="1" ht="19" customHeight="1" x14ac:dyDescent="0.2">
      <c r="D67" s="5"/>
      <c r="E67" s="5"/>
      <c r="F67" s="5"/>
      <c r="G67" s="3"/>
      <c r="H67" s="3"/>
      <c r="M67" s="5"/>
      <c r="N67" s="5"/>
      <c r="O67" s="5"/>
    </row>
    <row r="68" spans="1:15" ht="19" customHeight="1" x14ac:dyDescent="0.2">
      <c r="G68" s="3"/>
      <c r="H68" s="3"/>
      <c r="M68" s="7"/>
      <c r="N68" s="7"/>
      <c r="O68" s="7"/>
    </row>
    <row r="69" spans="1:15" s="4" customFormat="1" ht="19" customHeight="1" x14ac:dyDescent="0.2">
      <c r="A69" s="6"/>
      <c r="B69" s="6"/>
      <c r="C69" s="6"/>
      <c r="D69" s="7"/>
      <c r="E69" s="7"/>
      <c r="F69" s="7"/>
      <c r="G69" s="3"/>
      <c r="H69" s="3"/>
      <c r="I69" s="6"/>
      <c r="J69" s="6"/>
      <c r="K69" s="6"/>
    </row>
    <row r="70" spans="1:15" ht="19" customHeight="1" x14ac:dyDescent="0.2">
      <c r="A70" s="4"/>
      <c r="B70" s="4"/>
      <c r="C70" s="4"/>
      <c r="D70" s="5"/>
      <c r="E70" s="5"/>
      <c r="F70" s="5"/>
      <c r="G70" s="3"/>
      <c r="H70" s="3"/>
      <c r="I70" s="4"/>
      <c r="J70" s="4"/>
      <c r="K70" s="4"/>
    </row>
    <row r="71" spans="1:15" s="4" customFormat="1" ht="19" customHeight="1" x14ac:dyDescent="0.2">
      <c r="D71" s="5"/>
      <c r="E71" s="5"/>
      <c r="F71" s="5"/>
      <c r="G71" s="3"/>
      <c r="H71" s="3"/>
      <c r="M71" s="5"/>
      <c r="N71" s="5"/>
      <c r="O71" s="5"/>
    </row>
    <row r="72" spans="1:15" ht="19" customHeight="1" x14ac:dyDescent="0.2">
      <c r="G72" s="3"/>
      <c r="H72" s="3"/>
      <c r="M72" s="7"/>
      <c r="N72" s="7"/>
      <c r="O72" s="7"/>
    </row>
    <row r="73" spans="1:15" s="4" customFormat="1" ht="19" customHeight="1" x14ac:dyDescent="0.2">
      <c r="A73" s="6"/>
      <c r="B73" s="6"/>
      <c r="C73" s="6"/>
      <c r="D73" s="7"/>
      <c r="E73" s="7"/>
      <c r="F73" s="7"/>
      <c r="G73" s="3"/>
      <c r="H73" s="3"/>
      <c r="I73" s="6"/>
      <c r="J73" s="6"/>
      <c r="K73" s="6"/>
    </row>
    <row r="74" spans="1:15" ht="19" customHeight="1" x14ac:dyDescent="0.2">
      <c r="A74" s="4"/>
      <c r="B74" s="4"/>
      <c r="C74" s="4"/>
      <c r="D74" s="5"/>
      <c r="E74" s="5"/>
      <c r="F74" s="5"/>
      <c r="G74" s="3"/>
      <c r="H74" s="3"/>
      <c r="I74" s="4"/>
      <c r="J74" s="4"/>
      <c r="K74" s="4"/>
    </row>
    <row r="75" spans="1:15" s="4" customFormat="1" ht="19" customHeight="1" x14ac:dyDescent="0.2">
      <c r="A75" s="6"/>
      <c r="B75" s="6"/>
      <c r="C75" s="6"/>
      <c r="D75" s="7"/>
      <c r="E75" s="7"/>
      <c r="F75" s="7"/>
      <c r="G75" s="3"/>
      <c r="H75" s="3"/>
      <c r="I75" s="6"/>
      <c r="J75" s="6"/>
      <c r="K75" s="6"/>
    </row>
    <row r="76" spans="1:15" ht="19" customHeight="1" x14ac:dyDescent="0.2">
      <c r="G76" s="3"/>
      <c r="H76" s="3"/>
    </row>
    <row r="77" spans="1:15" s="4" customFormat="1" ht="19" customHeight="1" x14ac:dyDescent="0.2">
      <c r="D77" s="5"/>
      <c r="E77" s="5"/>
      <c r="F77" s="5"/>
      <c r="G77" s="3"/>
      <c r="H77" s="3"/>
    </row>
    <row r="78" spans="1:15" s="4" customFormat="1" ht="19" customHeight="1" x14ac:dyDescent="0.2">
      <c r="D78" s="5"/>
      <c r="E78" s="5"/>
      <c r="F78" s="5"/>
      <c r="G78" s="3"/>
      <c r="H78" s="3"/>
    </row>
    <row r="79" spans="1:15" s="4" customFormat="1" ht="19" customHeight="1" x14ac:dyDescent="0.2">
      <c r="A79" s="6"/>
      <c r="D79" s="5"/>
      <c r="E79" s="5"/>
      <c r="F79" s="5"/>
      <c r="G79" s="3"/>
      <c r="H79" s="3"/>
      <c r="J79" s="6"/>
      <c r="K79" s="6"/>
    </row>
    <row r="80" spans="1:15" ht="19" customHeight="1" x14ac:dyDescent="0.2">
      <c r="B80" s="4"/>
      <c r="C80" s="4"/>
      <c r="D80" s="5"/>
      <c r="E80" s="5"/>
      <c r="F80" s="5"/>
      <c r="G80" s="3"/>
      <c r="H80" s="3"/>
      <c r="I80" s="4"/>
    </row>
    <row r="81" spans="1:11" s="4" customFormat="1" ht="19" customHeight="1" x14ac:dyDescent="0.2">
      <c r="A81" s="6"/>
      <c r="B81" s="6"/>
      <c r="D81" s="7"/>
      <c r="E81" s="7"/>
      <c r="F81" s="7"/>
      <c r="G81" s="7"/>
      <c r="H81" s="7"/>
      <c r="I81" s="6"/>
      <c r="J81" s="6"/>
      <c r="K81" s="6"/>
    </row>
    <row r="82" spans="1:11" s="4" customFormat="1" ht="19" customHeight="1" x14ac:dyDescent="0.2">
      <c r="A82" s="6"/>
      <c r="B82" s="6"/>
      <c r="D82" s="7"/>
      <c r="E82" s="7"/>
      <c r="F82" s="7"/>
      <c r="G82" s="7"/>
      <c r="H82" s="7"/>
      <c r="I82" s="6"/>
      <c r="J82" s="6"/>
      <c r="K82" s="6"/>
    </row>
  </sheetData>
  <autoFilter ref="A1:K82" xr:uid="{85E944EE-19B2-F048-840C-8FDF46BBA4E6}">
    <sortState xmlns:xlrd2="http://schemas.microsoft.com/office/spreadsheetml/2017/richdata2" ref="A2:K82">
      <sortCondition ref="B1:B82"/>
    </sortState>
  </autoFilter>
  <phoneticPr fontId="4" type="noConversion"/>
  <conditionalFormatting sqref="C1:C1048576">
    <cfRule type="cellIs" dxfId="4" priority="1" operator="equal">
      <formula>"Rhesus"</formula>
    </cfRule>
    <cfRule type="cellIs" dxfId="3" priority="2" operator="equal">
      <formula>"Human"</formula>
    </cfRule>
    <cfRule type="cellIs" dxfId="2" priority="3" operator="equal">
      <formula>"Marmoset"</formula>
    </cfRule>
    <cfRule type="cellIs" dxfId="1" priority="4" operator="equal">
      <formula>"Chimpanzee"</formula>
    </cfRule>
  </conditionalFormatting>
  <conditionalFormatting sqref="C2">
    <cfRule type="cellIs" dxfId="0" priority="5" operator="equal">
      <formula>"Chimpanzee"</formula>
    </cfRule>
  </conditionalFormatting>
  <hyperlinks>
    <hyperlink ref="K19" r:id="rId1" xr:uid="{6C96D121-96DA-7E4C-BD4D-F559157C63FD}"/>
    <hyperlink ref="K31" r:id="rId2" xr:uid="{B890BC79-5E63-7746-BEB0-7D4295540413}"/>
    <hyperlink ref="K25" r:id="rId3" display="https://onlinelibrary.wiley.com/doi/epdf/10.1002/ajp.20628" xr:uid="{19753D7D-09E8-F64B-941D-445A63B4EA4D}"/>
  </hyperlinks>
  <pageMargins left="0.7" right="0.7" top="0.75" bottom="0.75" header="0.3" footer="0.3"/>
  <pageSetup orientation="portrait" horizontalDpi="0" verticalDpi="0"/>
  <ignoredErrors>
    <ignoredError sqref="F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DDA5-60F6-3545-8CD8-62A3C53720E1}">
  <dimension ref="A1:B1"/>
  <sheetViews>
    <sheetView workbookViewId="0">
      <selection activeCell="B1" sqref="B1"/>
    </sheetView>
  </sheetViews>
  <sheetFormatPr baseColWidth="10" defaultRowHeight="16" x14ac:dyDescent="0.2"/>
  <cols>
    <col min="1" max="1" width="25" customWidth="1"/>
  </cols>
  <sheetData>
    <row r="1" spans="1:2" x14ac:dyDescent="0.2">
      <c r="A1" t="s">
        <v>47</v>
      </c>
      <c r="B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Sheet3</vt:lpstr>
      <vt:lpstr>capuchin_gestation</vt:lpstr>
      <vt:lpstr>chimp_gestation</vt:lpstr>
      <vt:lpstr>gorilla_gestation</vt:lpstr>
      <vt:lpstr>human_gestation</vt:lpstr>
      <vt:lpstr>marmoset_gestation</vt:lpstr>
      <vt:lpstr>Rhesus_gestation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B. Biazzi</dc:creator>
  <cp:lastModifiedBy>Renata B. Biazzi</cp:lastModifiedBy>
  <dcterms:created xsi:type="dcterms:W3CDTF">2023-11-29T22:12:39Z</dcterms:created>
  <dcterms:modified xsi:type="dcterms:W3CDTF">2025-04-18T19:19:01Z</dcterms:modified>
</cp:coreProperties>
</file>